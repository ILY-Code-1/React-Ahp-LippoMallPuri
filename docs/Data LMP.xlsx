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narSetiyadi\Desktop\"/>
    </mc:Choice>
  </mc:AlternateContent>
  <xr:revisionPtr revIDLastSave="0" documentId="13_ncr:1_{10420312-6743-4B2A-AF1F-8CEF65EA019D}" xr6:coauthVersionLast="47" xr6:coauthVersionMax="47" xr10:uidLastSave="{00000000-0000-0000-0000-000000000000}"/>
  <bookViews>
    <workbookView xWindow="-110" yWindow="-110" windowWidth="19420" windowHeight="10300" xr2:uid="{BFFCE203-3A98-478D-BB78-D3C484CE1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  <c r="D27" i="1"/>
  <c r="C27" i="1"/>
  <c r="C33" i="1" s="1"/>
  <c r="D37" i="1"/>
  <c r="C37" i="1"/>
  <c r="D47" i="1"/>
  <c r="D53" i="1" s="1"/>
  <c r="C47" i="1"/>
  <c r="C53" i="1" s="1"/>
  <c r="D7" i="1"/>
  <c r="C7" i="1"/>
  <c r="C13" i="1" s="1"/>
  <c r="F49" i="1"/>
  <c r="F19" i="1"/>
  <c r="E53" i="1"/>
  <c r="E43" i="1"/>
  <c r="D43" i="1"/>
  <c r="C43" i="1"/>
  <c r="E33" i="1"/>
  <c r="D33" i="1"/>
  <c r="E23" i="1"/>
  <c r="C23" i="1"/>
  <c r="D13" i="1"/>
  <c r="E13" i="1"/>
</calcChain>
</file>

<file path=xl/sharedStrings.xml><?xml version="1.0" encoding="utf-8"?>
<sst xmlns="http://schemas.openxmlformats.org/spreadsheetml/2006/main" count="46" uniqueCount="18">
  <si>
    <t>No</t>
  </si>
  <si>
    <t>Lantai</t>
  </si>
  <si>
    <t>kWh</t>
  </si>
  <si>
    <t>Rp</t>
  </si>
  <si>
    <t>Mei 2026</t>
  </si>
  <si>
    <t>BS</t>
  </si>
  <si>
    <t>LG</t>
  </si>
  <si>
    <t>GF</t>
  </si>
  <si>
    <t>UG</t>
  </si>
  <si>
    <t>1F</t>
  </si>
  <si>
    <t>2F</t>
  </si>
  <si>
    <t>TOTAL 6 LANTAI</t>
  </si>
  <si>
    <t>Juni 2026</t>
  </si>
  <si>
    <t>Juli 2026</t>
  </si>
  <si>
    <t>Agustus 2026</t>
  </si>
  <si>
    <t>September 2026</t>
  </si>
  <si>
    <t>Luas Area (m²)</t>
  </si>
  <si>
    <t>Durasi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</si>
</sst>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A5E9-231A-414F-85A4-7EECBA2F6A85}">
  <dimension ref="A5:G53"/>
  <sheetViews>
    <sheetView tabSelected="1" workbookViewId="0">
      <selection activeCell="D18" sqref="D18"/>
    </sheetView>
  </sheetViews>
  <sheetFormatPr defaultRowHeight="14.5" x14ac:dyDescent="0.35"/>
  <cols>
    <col min="2" max="2" width="14.81640625" customWidth="1"/>
    <col min="3" max="3" width="11.7265625" style="2" bestFit="1" customWidth="1"/>
    <col min="4" max="4" width="16.54296875" style="1" bestFit="1" customWidth="1"/>
    <col min="5" max="5" width="13.7265625" style="2" customWidth="1"/>
    <col min="6" max="6" width="18.26953125" customWidth="1"/>
  </cols>
  <sheetData>
    <row r="5" spans="1:7" x14ac:dyDescent="0.35">
      <c r="A5" t="s">
        <v>0</v>
      </c>
      <c r="B5" t="s">
        <v>1</v>
      </c>
      <c r="C5" s="2" t="s">
        <v>2</v>
      </c>
      <c r="D5" s="1" t="s">
        <v>3</v>
      </c>
      <c r="E5" s="2" t="s">
        <v>16</v>
      </c>
      <c r="F5" t="s">
        <v>17</v>
      </c>
    </row>
    <row r="6" spans="1:7" x14ac:dyDescent="0.35">
      <c r="A6" t="s">
        <v>4</v>
      </c>
    </row>
    <row r="7" spans="1:7" x14ac:dyDescent="0.35">
      <c r="A7">
        <v>1</v>
      </c>
      <c r="B7" t="s">
        <v>5</v>
      </c>
      <c r="C7" s="2">
        <f>1898.46+36983.43</f>
        <v>38881.89</v>
      </c>
      <c r="D7" s="1">
        <f>4301930+83816609</f>
        <v>88118539</v>
      </c>
      <c r="E7" s="2">
        <v>58900</v>
      </c>
      <c r="F7">
        <v>372</v>
      </c>
      <c r="G7">
        <v>2</v>
      </c>
    </row>
    <row r="8" spans="1:7" x14ac:dyDescent="0.35">
      <c r="A8">
        <v>2</v>
      </c>
      <c r="B8" t="s">
        <v>6</v>
      </c>
      <c r="C8" s="2">
        <v>403087.32</v>
      </c>
      <c r="D8" s="1">
        <v>795500371.5999999</v>
      </c>
      <c r="E8" s="2">
        <v>63400</v>
      </c>
      <c r="F8">
        <v>372</v>
      </c>
      <c r="G8">
        <v>3</v>
      </c>
    </row>
    <row r="9" spans="1:7" x14ac:dyDescent="0.35">
      <c r="A9">
        <v>3</v>
      </c>
      <c r="B9" t="s">
        <v>7</v>
      </c>
      <c r="C9" s="2">
        <v>484818.3</v>
      </c>
      <c r="D9" s="1">
        <v>780120731.69999993</v>
      </c>
      <c r="E9" s="2">
        <v>47600</v>
      </c>
      <c r="F9">
        <v>465</v>
      </c>
      <c r="G9">
        <v>3</v>
      </c>
    </row>
    <row r="10" spans="1:7" x14ac:dyDescent="0.35">
      <c r="A10">
        <v>4</v>
      </c>
      <c r="B10" t="s">
        <v>8</v>
      </c>
      <c r="C10" s="2">
        <v>192705.62000000002</v>
      </c>
      <c r="D10" s="1">
        <v>438670440</v>
      </c>
      <c r="E10" s="2">
        <v>47700</v>
      </c>
      <c r="F10">
        <v>372</v>
      </c>
      <c r="G10">
        <v>2</v>
      </c>
    </row>
    <row r="11" spans="1:7" x14ac:dyDescent="0.35">
      <c r="A11">
        <v>5</v>
      </c>
      <c r="B11" t="s">
        <v>9</v>
      </c>
      <c r="C11" s="2">
        <v>480597.8</v>
      </c>
      <c r="D11" s="1">
        <v>876874557.20000005</v>
      </c>
      <c r="E11" s="2">
        <v>46600</v>
      </c>
      <c r="F11">
        <v>372</v>
      </c>
      <c r="G11">
        <v>2</v>
      </c>
    </row>
    <row r="12" spans="1:7" x14ac:dyDescent="0.35">
      <c r="A12">
        <v>6</v>
      </c>
      <c r="B12" t="s">
        <v>10</v>
      </c>
      <c r="C12" s="2">
        <v>368992.19999999995</v>
      </c>
      <c r="D12" s="1">
        <v>794857810</v>
      </c>
      <c r="E12" s="2">
        <v>43700</v>
      </c>
      <c r="F12">
        <v>372</v>
      </c>
      <c r="G12">
        <v>3</v>
      </c>
    </row>
    <row r="13" spans="1:7" x14ac:dyDescent="0.35">
      <c r="B13" t="s">
        <v>11</v>
      </c>
      <c r="C13" s="2">
        <f>SUM(C7:C12)</f>
        <v>1969083.1300000001</v>
      </c>
      <c r="D13" s="1">
        <f>SUM(D7:D12)</f>
        <v>3774142449.5</v>
      </c>
      <c r="E13" s="2">
        <f>SUM(E7:E12)</f>
        <v>307900</v>
      </c>
    </row>
    <row r="16" spans="1:7" x14ac:dyDescent="0.35">
      <c r="A16" t="s">
        <v>12</v>
      </c>
    </row>
    <row r="17" spans="1:7" x14ac:dyDescent="0.35">
      <c r="A17">
        <v>1</v>
      </c>
      <c r="B17" t="s">
        <v>5</v>
      </c>
      <c r="C17" s="2">
        <v>37109.26</v>
      </c>
      <c r="D17" s="1">
        <v>84084768</v>
      </c>
      <c r="E17" s="2">
        <v>58900</v>
      </c>
      <c r="F17">
        <v>360</v>
      </c>
      <c r="G17">
        <v>2</v>
      </c>
    </row>
    <row r="18" spans="1:7" x14ac:dyDescent="0.35">
      <c r="A18">
        <v>2</v>
      </c>
      <c r="B18" t="s">
        <v>6</v>
      </c>
      <c r="C18" s="2">
        <v>426787.67000000004</v>
      </c>
      <c r="D18" s="1">
        <v>845347794</v>
      </c>
      <c r="E18" s="2">
        <v>63400</v>
      </c>
      <c r="F18">
        <v>360</v>
      </c>
      <c r="G18">
        <v>3</v>
      </c>
    </row>
    <row r="19" spans="1:7" x14ac:dyDescent="0.35">
      <c r="A19">
        <v>3</v>
      </c>
      <c r="B19" t="s">
        <v>7</v>
      </c>
      <c r="C19" s="2">
        <v>525995.35</v>
      </c>
      <c r="D19" s="1">
        <v>858485084</v>
      </c>
      <c r="E19" s="2">
        <v>47600</v>
      </c>
      <c r="F19">
        <f>15*30</f>
        <v>450</v>
      </c>
      <c r="G19">
        <v>4</v>
      </c>
    </row>
    <row r="20" spans="1:7" x14ac:dyDescent="0.35">
      <c r="A20">
        <v>4</v>
      </c>
      <c r="B20" t="s">
        <v>8</v>
      </c>
      <c r="C20" s="2">
        <v>192298.05000000002</v>
      </c>
      <c r="D20" s="1">
        <v>437661660</v>
      </c>
      <c r="E20" s="2">
        <v>47700</v>
      </c>
      <c r="F20">
        <v>360</v>
      </c>
      <c r="G20">
        <v>2</v>
      </c>
    </row>
    <row r="21" spans="1:7" x14ac:dyDescent="0.35">
      <c r="A21">
        <v>5</v>
      </c>
      <c r="B21" t="s">
        <v>9</v>
      </c>
      <c r="C21" s="2">
        <v>508535.38</v>
      </c>
      <c r="D21" s="1">
        <v>927150205</v>
      </c>
      <c r="E21" s="2">
        <v>46600</v>
      </c>
      <c r="F21">
        <v>360</v>
      </c>
      <c r="G21">
        <v>3</v>
      </c>
    </row>
    <row r="22" spans="1:7" x14ac:dyDescent="0.35">
      <c r="A22">
        <v>6</v>
      </c>
      <c r="B22" t="s">
        <v>10</v>
      </c>
      <c r="C22" s="2">
        <v>380654.40000000008</v>
      </c>
      <c r="D22" s="1">
        <v>818906820</v>
      </c>
      <c r="E22" s="2">
        <v>43700</v>
      </c>
      <c r="F22">
        <v>360</v>
      </c>
      <c r="G22">
        <v>2</v>
      </c>
    </row>
    <row r="23" spans="1:7" x14ac:dyDescent="0.35">
      <c r="B23" t="s">
        <v>11</v>
      </c>
      <c r="C23" s="2">
        <f>SUM(C17:C22)</f>
        <v>2071380.11</v>
      </c>
      <c r="D23" s="1">
        <f>SUM(D17:D22)</f>
        <v>3971636331</v>
      </c>
      <c r="E23" s="2">
        <f>SUM(E17:E22)</f>
        <v>307900</v>
      </c>
    </row>
    <row r="26" spans="1:7" x14ac:dyDescent="0.35">
      <c r="A26" t="s">
        <v>13</v>
      </c>
    </row>
    <row r="27" spans="1:7" x14ac:dyDescent="0.35">
      <c r="A27">
        <v>1</v>
      </c>
      <c r="B27" t="s">
        <v>5</v>
      </c>
      <c r="C27" s="2">
        <f>36051.03+1947.38</f>
        <v>37998.409999999996</v>
      </c>
      <c r="D27" s="1">
        <f>81691636+4412770</f>
        <v>86104406</v>
      </c>
      <c r="E27" s="2">
        <v>58900</v>
      </c>
      <c r="F27">
        <v>372</v>
      </c>
      <c r="G27">
        <v>2</v>
      </c>
    </row>
    <row r="28" spans="1:7" x14ac:dyDescent="0.35">
      <c r="A28">
        <v>2</v>
      </c>
      <c r="B28" t="s">
        <v>6</v>
      </c>
      <c r="C28" s="2">
        <v>417435.80999999994</v>
      </c>
      <c r="D28" s="1">
        <v>827379841.28000009</v>
      </c>
      <c r="E28" s="2">
        <v>63400</v>
      </c>
      <c r="F28">
        <v>372</v>
      </c>
      <c r="G28">
        <v>2</v>
      </c>
    </row>
    <row r="29" spans="1:7" x14ac:dyDescent="0.35">
      <c r="A29">
        <v>3</v>
      </c>
      <c r="B29" t="s">
        <v>7</v>
      </c>
      <c r="C29" s="2">
        <v>503941.64999999985</v>
      </c>
      <c r="D29" s="1">
        <v>812904663.44000006</v>
      </c>
      <c r="E29" s="2">
        <v>47600</v>
      </c>
      <c r="F29">
        <v>465</v>
      </c>
      <c r="G29">
        <v>3</v>
      </c>
    </row>
    <row r="30" spans="1:7" x14ac:dyDescent="0.35">
      <c r="A30">
        <v>4</v>
      </c>
      <c r="B30" t="s">
        <v>8</v>
      </c>
      <c r="C30" s="2">
        <v>186854.87999999989</v>
      </c>
      <c r="D30" s="1">
        <v>425391250</v>
      </c>
      <c r="E30" s="2">
        <v>47700</v>
      </c>
      <c r="F30">
        <v>372</v>
      </c>
      <c r="G30">
        <v>3</v>
      </c>
    </row>
    <row r="31" spans="1:7" x14ac:dyDescent="0.35">
      <c r="A31">
        <v>5</v>
      </c>
      <c r="B31" t="s">
        <v>9</v>
      </c>
      <c r="C31" s="2">
        <v>517745.55999999982</v>
      </c>
      <c r="D31" s="1">
        <v>947712196.60000002</v>
      </c>
      <c r="E31" s="2">
        <v>46600</v>
      </c>
      <c r="F31">
        <v>372</v>
      </c>
      <c r="G31">
        <v>2</v>
      </c>
    </row>
    <row r="32" spans="1:7" x14ac:dyDescent="0.35">
      <c r="A32">
        <v>6</v>
      </c>
      <c r="B32" t="s">
        <v>10</v>
      </c>
      <c r="C32" s="2">
        <v>363532.22999999981</v>
      </c>
      <c r="D32" s="1">
        <v>784365587.36000013</v>
      </c>
      <c r="E32" s="2">
        <v>43700</v>
      </c>
      <c r="F32">
        <v>372</v>
      </c>
      <c r="G32">
        <v>3</v>
      </c>
    </row>
    <row r="33" spans="1:7" x14ac:dyDescent="0.35">
      <c r="B33" t="s">
        <v>11</v>
      </c>
      <c r="C33" s="2">
        <f>SUM(C27:C32)</f>
        <v>2027508.5399999991</v>
      </c>
      <c r="D33" s="1">
        <f>SUM(D27:D32)</f>
        <v>3883857944.6800003</v>
      </c>
      <c r="E33" s="2">
        <f>SUM(E27:E32)</f>
        <v>307900</v>
      </c>
    </row>
    <row r="36" spans="1:7" x14ac:dyDescent="0.35">
      <c r="A36" t="s">
        <v>14</v>
      </c>
    </row>
    <row r="37" spans="1:7" x14ac:dyDescent="0.35">
      <c r="A37">
        <v>1</v>
      </c>
      <c r="B37" t="s">
        <v>5</v>
      </c>
      <c r="C37" s="2">
        <f>2019.86+36975.29</f>
        <v>38995.15</v>
      </c>
      <c r="D37" s="1">
        <f>83786005+4577010</f>
        <v>88363015</v>
      </c>
      <c r="E37" s="2">
        <v>58900</v>
      </c>
      <c r="F37">
        <v>372</v>
      </c>
      <c r="G37">
        <v>3</v>
      </c>
    </row>
    <row r="38" spans="1:7" x14ac:dyDescent="0.35">
      <c r="A38">
        <v>2</v>
      </c>
      <c r="B38" t="s">
        <v>6</v>
      </c>
      <c r="C38" s="2">
        <v>443732.48999999993</v>
      </c>
      <c r="D38" s="1">
        <v>883739418.01999998</v>
      </c>
      <c r="E38" s="2">
        <v>63400</v>
      </c>
      <c r="F38">
        <v>372</v>
      </c>
      <c r="G38">
        <v>3</v>
      </c>
    </row>
    <row r="39" spans="1:7" x14ac:dyDescent="0.35">
      <c r="A39">
        <v>3</v>
      </c>
      <c r="B39" t="s">
        <v>7</v>
      </c>
      <c r="C39" s="2">
        <v>481958.59</v>
      </c>
      <c r="D39" s="1">
        <v>807797601.20000005</v>
      </c>
      <c r="E39" s="2">
        <v>47600</v>
      </c>
      <c r="F39">
        <v>465</v>
      </c>
      <c r="G39">
        <v>3</v>
      </c>
    </row>
    <row r="40" spans="1:7" x14ac:dyDescent="0.35">
      <c r="A40">
        <v>4</v>
      </c>
      <c r="B40" t="s">
        <v>8</v>
      </c>
      <c r="C40" s="2">
        <v>193989.21000000002</v>
      </c>
      <c r="D40" s="1">
        <v>439657160</v>
      </c>
      <c r="E40" s="2">
        <v>47700</v>
      </c>
      <c r="F40">
        <v>372</v>
      </c>
      <c r="G40">
        <v>2</v>
      </c>
    </row>
    <row r="41" spans="1:7" x14ac:dyDescent="0.35">
      <c r="A41">
        <v>5</v>
      </c>
      <c r="B41" t="s">
        <v>9</v>
      </c>
      <c r="C41" s="2">
        <v>538862.56000000006</v>
      </c>
      <c r="D41" s="1">
        <v>983968010</v>
      </c>
      <c r="E41" s="2">
        <v>46600</v>
      </c>
      <c r="F41">
        <v>372</v>
      </c>
      <c r="G41">
        <v>2</v>
      </c>
    </row>
    <row r="42" spans="1:7" x14ac:dyDescent="0.35">
      <c r="A42">
        <v>6</v>
      </c>
      <c r="B42" t="s">
        <v>10</v>
      </c>
      <c r="C42" s="2">
        <v>373700.79000000004</v>
      </c>
      <c r="D42" s="1">
        <v>803876080</v>
      </c>
      <c r="E42" s="2">
        <v>43700</v>
      </c>
      <c r="F42">
        <v>372</v>
      </c>
      <c r="G42">
        <v>3</v>
      </c>
    </row>
    <row r="43" spans="1:7" x14ac:dyDescent="0.35">
      <c r="B43" t="s">
        <v>11</v>
      </c>
      <c r="C43" s="2">
        <f>SUM(C37:C42)</f>
        <v>2071238.79</v>
      </c>
      <c r="D43" s="1">
        <f>SUM(D37:D42)</f>
        <v>4007401284.2200003</v>
      </c>
      <c r="E43" s="2">
        <f>SUM(E37:E42)</f>
        <v>307900</v>
      </c>
    </row>
    <row r="46" spans="1:7" x14ac:dyDescent="0.35">
      <c r="A46" t="s">
        <v>15</v>
      </c>
    </row>
    <row r="47" spans="1:7" x14ac:dyDescent="0.35">
      <c r="A47">
        <v>1</v>
      </c>
      <c r="B47" t="s">
        <v>5</v>
      </c>
      <c r="C47" s="2">
        <f>2063.29+39533.16</f>
        <v>41596.450000000004</v>
      </c>
      <c r="D47" s="1">
        <f>4675420+89582141</f>
        <v>94257561</v>
      </c>
      <c r="E47" s="2">
        <v>58900</v>
      </c>
      <c r="F47">
        <v>360</v>
      </c>
      <c r="G47">
        <v>2</v>
      </c>
    </row>
    <row r="48" spans="1:7" x14ac:dyDescent="0.35">
      <c r="A48">
        <v>2</v>
      </c>
      <c r="B48" t="s">
        <v>6</v>
      </c>
      <c r="C48" s="2">
        <v>442942.16999999993</v>
      </c>
      <c r="D48" s="1">
        <v>881618786</v>
      </c>
      <c r="E48" s="2">
        <v>63400</v>
      </c>
      <c r="F48">
        <v>360</v>
      </c>
      <c r="G48">
        <v>3</v>
      </c>
    </row>
    <row r="49" spans="1:7" x14ac:dyDescent="0.35">
      <c r="A49">
        <v>3</v>
      </c>
      <c r="B49" t="s">
        <v>7</v>
      </c>
      <c r="C49" s="2">
        <v>597747.85</v>
      </c>
      <c r="D49" s="1">
        <v>819204900</v>
      </c>
      <c r="E49" s="2">
        <v>47600</v>
      </c>
      <c r="F49">
        <f>15*30</f>
        <v>450</v>
      </c>
      <c r="G49">
        <v>2</v>
      </c>
    </row>
    <row r="50" spans="1:7" x14ac:dyDescent="0.35">
      <c r="A50">
        <v>4</v>
      </c>
      <c r="B50" t="s">
        <v>8</v>
      </c>
      <c r="C50" s="2">
        <v>198363.18</v>
      </c>
      <c r="D50" s="1">
        <v>448941730</v>
      </c>
      <c r="E50" s="2">
        <v>47700</v>
      </c>
      <c r="F50">
        <v>360</v>
      </c>
      <c r="G50">
        <v>2</v>
      </c>
    </row>
    <row r="51" spans="1:7" x14ac:dyDescent="0.35">
      <c r="A51">
        <v>5</v>
      </c>
      <c r="B51" t="s">
        <v>9</v>
      </c>
      <c r="C51" s="2">
        <v>524541.69000000006</v>
      </c>
      <c r="D51" s="1">
        <v>961355140</v>
      </c>
      <c r="E51" s="2">
        <v>46600</v>
      </c>
      <c r="F51">
        <v>360</v>
      </c>
      <c r="G51">
        <v>3</v>
      </c>
    </row>
    <row r="52" spans="1:7" x14ac:dyDescent="0.35">
      <c r="A52">
        <v>6</v>
      </c>
      <c r="B52" t="s">
        <v>10</v>
      </c>
      <c r="C52" s="2">
        <v>370357.61000000004</v>
      </c>
      <c r="D52" s="1">
        <v>794112240</v>
      </c>
      <c r="E52" s="2">
        <v>43700</v>
      </c>
      <c r="F52">
        <v>360</v>
      </c>
      <c r="G52">
        <v>2</v>
      </c>
    </row>
    <row r="53" spans="1:7" x14ac:dyDescent="0.35">
      <c r="B53" t="s">
        <v>11</v>
      </c>
      <c r="C53" s="2">
        <f>SUM(C47:C52)</f>
        <v>2175548.9499999997</v>
      </c>
      <c r="D53" s="1">
        <f>SUM(D47:D52)</f>
        <v>3999490357</v>
      </c>
      <c r="E53" s="2">
        <f>SUM(E47:E52)</f>
        <v>307900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Romadhon Prastyo</dc:creator>
  <cp:lastModifiedBy>Yusnar Setiyadi</cp:lastModifiedBy>
  <dcterms:created xsi:type="dcterms:W3CDTF">2026-10-18T04:55:48Z</dcterms:created>
  <dcterms:modified xsi:type="dcterms:W3CDTF">2026-10-22T11:52:52Z</dcterms:modified>
</cp:coreProperties>
</file>